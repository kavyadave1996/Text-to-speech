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a\Documents\ma-tts-tuning\workspace\docs\metadata\"/>
    </mc:Choice>
  </mc:AlternateContent>
  <xr:revisionPtr revIDLastSave="0" documentId="13_ncr:9_{CEB5C617-1597-40D3-ABB1-1EA1A4B67B18}" xr6:coauthVersionLast="47" xr6:coauthVersionMax="47" xr10:uidLastSave="{00000000-0000-0000-0000-000000000000}"/>
  <bookViews>
    <workbookView xWindow="19090" yWindow="-110" windowWidth="19420" windowHeight="10300" xr2:uid="{C1407DAC-F966-4BE2-969D-DF5A99F42A74}"/>
  </bookViews>
  <sheets>
    <sheet name="noisy_reference_inventory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29" i="1" l="1"/>
  <c r="E30" i="1"/>
  <c r="E27" i="1"/>
  <c r="E25" i="1"/>
  <c r="E24" i="1"/>
  <c r="E23" i="1"/>
  <c r="E21" i="1"/>
  <c r="E17" i="1"/>
  <c r="E13" i="1"/>
  <c r="E15" i="1"/>
  <c r="E11" i="1"/>
  <c r="E10" i="1"/>
  <c r="E9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<sst xmlns="http://schemas.openxmlformats.org/spreadsheetml/2006/main" count="137" uniqueCount="66">
  <si>
    <t>reference_audio</t>
  </si>
  <si>
    <t>known_label</t>
  </si>
  <si>
    <t>reference_snr_db</t>
  </si>
  <si>
    <t>reference_noise_dbfs</t>
  </si>
  <si>
    <t>workspace/docs/Noisy_dataset/reference_voices/Northern_Belle.wav</t>
  </si>
  <si>
    <t>workspace/docs/Noisy_dataset/reference_voices/(51) Audio captures captain’s distress call after Iran fires on Indian tanker in Hormuz.wav</t>
  </si>
  <si>
    <t>workspace/docs/Noisy_dataset/reference_voices/(54) Boaters mayday call.wav</t>
  </si>
  <si>
    <t>workspace/docs/Noisy_dataset/reference_voices/(51) Mayday Call from Fishing Vessel Off New Hampshire.wav</t>
  </si>
  <si>
    <t>workspace/docs/Noisy_dataset/reference_voices/(51) Yacht's mayday call_ 'We are sinking'.wav</t>
  </si>
  <si>
    <t>workspace/docs/Noisy_dataset/reference_voices/(51)Mayday call jet blue airline landing medical emergency but atc stop him #airplane #atcmemes.wav</t>
  </si>
  <si>
    <t>workspace/docs/Noisy_dataset/reference_voices/(54) Mayday call from capsized vessel on Saginaw Bay.wav</t>
  </si>
  <si>
    <t>workspace/docs/Noisy_dataset/reference_voices/(41) Practical Boating MBM How to do a mayday DSC Motor Boats Monthly MBM.wav</t>
  </si>
  <si>
    <t>workspace/docs/Noisy_dataset/reference_voices/WhatsApp_audio_1.wav</t>
  </si>
  <si>
    <t>result</t>
  </si>
  <si>
    <t>Column1</t>
  </si>
  <si>
    <t>Column2</t>
  </si>
  <si>
    <t>Column3</t>
  </si>
  <si>
    <t>Column4</t>
  </si>
  <si>
    <t>Column5</t>
  </si>
  <si>
    <t>clear-noisy references were used for noisy-reference TTS generation
clean-like references were used for clean-reference TTS generation
borderline references were kept aside or reviewed separately                                              dark blue - noisy , orange- clean, purple-borderline</t>
  </si>
  <si>
    <t>NOISY</t>
  </si>
  <si>
    <t>CLEAN</t>
  </si>
  <si>
    <t>File</t>
  </si>
  <si>
    <t>Likely English accent</t>
  </si>
  <si>
    <t>Confidence</t>
  </si>
  <si>
    <t>(51) Yacht's mayday call_ 'We are sinking'</t>
  </si>
  <si>
    <t>British / UK English</t>
  </si>
  <si>
    <t>Medium</t>
  </si>
  <si>
    <t>(51)Mayday call jet blue airline landing medical emergency...</t>
  </si>
  <si>
    <t>American English</t>
  </si>
  <si>
    <t>High</t>
  </si>
  <si>
    <t>(54) Boaters mayday call</t>
  </si>
  <si>
    <t>North American / American English</t>
  </si>
  <si>
    <t>(54) Mayday call from capsized vessel on Saginaw Bay</t>
  </si>
  <si>
    <t>American English, likely Great Lakes / Midwest style</t>
  </si>
  <si>
    <t>(135) Mayday Relay for sinking vessel on HF 8291 kHz in Australian bush</t>
  </si>
  <si>
    <t>Australian English</t>
  </si>
  <si>
    <t>Northern Belle_ coast_guard</t>
  </si>
  <si>
    <t>American English, US Coast Guard/radio style</t>
  </si>
  <si>
    <t>Northern_Belle</t>
  </si>
  <si>
    <t>American / North American English</t>
  </si>
  <si>
    <t>WhatsApp_audio_1</t>
  </si>
  <si>
    <t>Indian / South Asian English</t>
  </si>
  <si>
    <t>(51) Audio captures captain’s distress call after Iran fires on Indian tanker in Hormuz</t>
  </si>
  <si>
    <t>Medium–High</t>
  </si>
  <si>
    <t>(51) Mayday Call from Fishing Vessel Off New Hampshire</t>
  </si>
  <si>
    <t>Likely accent</t>
  </si>
  <si>
    <t>(54) Example Mayday Message(1).wav</t>
  </si>
  <si>
    <t>American / neutral instructional English</t>
  </si>
  <si>
    <t>(135) City Sailing SRC VHF Radio Course May Day Distress Call tutorial.wav</t>
  </si>
  <si>
    <t>British English</t>
  </si>
  <si>
    <t>(135) Mein Schiff 7_ Erfolgreiche Übung auf der Ostsee.wav</t>
  </si>
  <si>
    <t>German-accented English / European English</t>
  </si>
  <si>
    <t>(135) ScotSail VHF Radio Licence - Mayday Relay Voice Call.wav</t>
  </si>
  <si>
    <t>Scottish / British English</t>
  </si>
  <si>
    <t>(135) VHF Mayday call.wav</t>
  </si>
  <si>
    <t>British / European maritime-radio English</t>
  </si>
  <si>
    <t>coast_guard_clean.wav</t>
  </si>
  <si>
    <t>American English / US Coast Guard style</t>
  </si>
  <si>
    <t>French coastguard's mayday call after boat capsized – audio(4).wav</t>
  </si>
  <si>
    <t>French-accented English</t>
  </si>
  <si>
    <t>WhatsApp Audio 2026-08-01 at 08.13.34(1).wav</t>
  </si>
  <si>
    <t>mix_ref</t>
  </si>
  <si>
    <t>workspace/docs/clean_dataset/reference_voices/(54) Example Mayday Message.wav</t>
  </si>
  <si>
    <t>workspace/docs/clean_dataset/reference_voices/French coastguard's mayday call after boat capsized – audio.wav</t>
  </si>
  <si>
    <t>workspace/docs/clean_dataset/reference_voices/WhatsApp Audio 2026-08-01 at 08.13.34.wav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</si>
</sst>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theme="4" tint="-0.24997711111789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7" fillId="33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2E974-22AC-4E45-A3DE-1B15E26CD330}" name="Table1" displayName="Table1" ref="A2:E7" totalsRowShown="0" headerRowCellStyle="Normal" dataCellStyle="Normal">
  <autoFilter ref="A2:E7" xr:uid="{EDC2E974-22AC-4E45-A3DE-1B15E26CD330}"/>
  <tableColumns count="5">
    <tableColumn id="1" xr3:uid="{F445DD16-3C0F-4E5D-B2C3-953D5E76ECEC}" name="Column1" dataCellStyle="Normal"/>
    <tableColumn id="2" xr3:uid="{54E59170-843A-476B-8F9C-AADD378E8181}" name="Column2" dataCellStyle="Normal"/>
    <tableColumn id="3" xr3:uid="{D5DA5194-C030-4179-AECA-217C2F093140}" name="Column3" dataCellStyle="Normal"/>
    <tableColumn id="4" xr3:uid="{D3A71337-8EEE-4080-A744-492A31D47928}" name="Column4" dataCellStyle="Normal"/>
    <tableColumn id="5" xr3:uid="{9979F343-E7A1-4294-95F7-1B22951D7AFF}" name="Column5" dataDxfId="2" dataCellStyle="Normal">
      <calculatedColumnFormula>IF(OR(D3&gt;=-35,AND(C3&lt;=20,D3&gt;=-45)),"noisy_like",IF(AND(C3&gt;=30,D3&lt;=-50),"clean_like","uncertain_or_vhf_radio_style"))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36DA1B-4D5E-40A8-8E07-F851160F9D10}" name="Table2" displayName="Table2" ref="A12:E15" totalsRowShown="0">
  <autoFilter ref="A12:E15" xr:uid="{1836DA1B-4D5E-40A8-8E07-F851160F9D10}"/>
  <tableColumns count="5">
    <tableColumn id="1" xr3:uid="{9CBEEBAF-502A-4F48-B71F-E3EA1B22F8A1}" name="Column1"/>
    <tableColumn id="2" xr3:uid="{E4CB853B-AF00-4326-8A48-AB6B472A8FDD}" name="Column2"/>
    <tableColumn id="3" xr3:uid="{5A7565EF-49A6-4508-9B16-40E61E3A6F1B}" name="Column3"/>
    <tableColumn id="4" xr3:uid="{C6C298FC-1B6B-4A6F-9E97-193CF9BC164B}" name="Column4"/>
    <tableColumn id="5" xr3:uid="{237C9FE0-5D48-499C-AF9F-7629FD139476}" name="Column5" dataDxfId="1">
      <calculatedColumnFormula>IF(OR(D13&gt;=-35,AND(C13&lt;=20,D9&gt;=-45)),"noisy_like",IF(AND(C13&gt;=30,D13&lt;=-50),"clean_like","uncertain_or_vhf_radio_style"))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90B07-3134-4994-8FCF-3B22A5A14A69}" name="Table3" displayName="Table3" ref="A8:E9" totalsRowShown="0">
  <autoFilter ref="A8:E9" xr:uid="{97790B07-3134-4994-8FCF-3B22A5A14A69}"/>
  <tableColumns count="5">
    <tableColumn id="1" xr3:uid="{BB56916C-E7C8-43FB-8D6C-D798CB5E02DD}" name="Column1"/>
    <tableColumn id="2" xr3:uid="{8EE6D8A5-EB23-4C2A-9EA3-AB71FC1137F2}" name="Column2"/>
    <tableColumn id="3" xr3:uid="{A71A51E1-4AE2-49B3-AB0F-63EAFAA430F0}" name="Column3"/>
    <tableColumn id="4" xr3:uid="{31426552-E040-4A71-B054-2B1165DCBE90}" name="Column4"/>
    <tableColumn id="5" xr3:uid="{86A5A4E0-0AB6-4C22-A9B1-2E749E2CA451}" name="Column5">
      <calculatedColumnFormula>IF(OR(D9&gt;=-35,AND(C9&lt;=20,D9&gt;=-45)),"noisy_like",IF(AND(C9&gt;=30,D9&lt;=-50),"clean_like","uncertain_or_vhf_radio_style"))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641D27-6089-4B75-9DBC-697F3A515E6A}" name="Table4" displayName="Table4" ref="A26:E27" totalsRowShown="0">
  <autoFilter ref="A26:E27" xr:uid="{CD641D27-6089-4B75-9DBC-697F3A515E6A}"/>
  <tableColumns count="5">
    <tableColumn id="1" xr3:uid="{C487F68F-2B7D-4DB6-A110-1E203A219839}" name="Column1"/>
    <tableColumn id="2" xr3:uid="{892D5134-133E-4817-9925-A35379EBA27F}" name="Column2"/>
    <tableColumn id="3" xr3:uid="{F7505111-FE50-4E16-863D-89484176D083}" name="Column3"/>
    <tableColumn id="4" xr3:uid="{37AE0B18-B2BF-4FF0-92CA-E0D652646803}" name="Column4"/>
    <tableColumn id="5" xr3:uid="{E3996BFB-AB8D-4362-93F7-B21DB482B15A}" name="Column5">
      <calculatedColumnFormula>IF(OR(D27&gt;=-35,AND(C27&lt;=20,D27&gt;=-45)),"noisy_like",IF(AND(C27&gt;=30,D27&lt;=-50),"clean_like","uncertain_or_vhf_radio_style"))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5577D3-9350-42D6-BA11-83A1FAEBA16D}" name="Table5" displayName="Table5" ref="A16:E17" totalsRowShown="0">
  <autoFilter ref="A16:E17" xr:uid="{8C5577D3-9350-42D6-BA11-83A1FAEBA16D}"/>
  <tableColumns count="5">
    <tableColumn id="1" xr3:uid="{977E56CD-37AD-4ED1-A07F-5DD754F6523F}" name="Column1"/>
    <tableColumn id="2" xr3:uid="{00C61794-7F94-44F9-9C1B-1880D989330F}" name="Column2"/>
    <tableColumn id="3" xr3:uid="{1B3948A2-2778-4093-A41D-C9109BB98884}" name="Column3"/>
    <tableColumn id="4" xr3:uid="{C35D3018-D216-448B-B82F-C957CA54E66E}" name="Column4"/>
    <tableColumn id="5" xr3:uid="{D0A073B9-4548-4916-B875-288E8B9E3DC3}" name="Column5">
      <calculatedColumnFormula>IF(OR(D17&gt;=-35,AND(C17&lt;=20,D17&gt;=-45)),"noisy_like",IF(AND(C17&gt;=30,D17&lt;=-50),"clean_like","uncertain_or_vhf_radio_style"))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E27383-9798-45C1-A764-FA42506408E6}" name="Table6" displayName="Table6" ref="A28:E30" totalsRowShown="0">
  <autoFilter ref="A28:E30" xr:uid="{75E27383-9798-45C1-A764-FA42506408E6}"/>
  <tableColumns count="5">
    <tableColumn id="1" xr3:uid="{177B1EFE-87E4-412E-8409-74C409FECA8F}" name="Column1"/>
    <tableColumn id="2" xr3:uid="{76674DD5-3A21-4BF3-80BC-46B533C6C3FB}" name="Column2"/>
    <tableColumn id="3" xr3:uid="{3FEFBA9C-8D69-4CD0-9A72-B09B6EA08755}" name="Column3"/>
    <tableColumn id="4" xr3:uid="{0EAF32B7-6E54-4301-8194-0B15A2408A1D}" name="Column4"/>
    <tableColumn id="5" xr3:uid="{50C8C249-E3D6-4F68-B892-E809D2122861}" name="Column5" dataDxfId="0">
      <calculatedColumnFormula>IF(OR(D29&gt;=-35,AND(C29&lt;=20,D29&gt;=-45)),"noisy_like",IF(AND(C29&gt;=30,D29&lt;=-50),"clean_like","uncertain_or_vhf_radio_style"))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9972-2180-4DAB-B1DF-44EE5985F199}">
  <dimension ref="A1:F30"/>
  <sheetViews>
    <sheetView tabSelected="1" topLeftCell="A15" workbookViewId="0">
      <selection activeCell="E30" sqref="E30"/>
    </sheetView>
  </sheetViews>
  <sheetFormatPr defaultRowHeight="14.5"/>
  <cols>
    <col min="1" max="1" width="68.26953125" customWidth="1"/>
    <col min="2" max="2" width="28.90625" customWidth="1"/>
    <col min="3" max="3" width="25.81640625" customWidth="1"/>
    <col min="4" max="4" width="21.1796875" customWidth="1"/>
    <col min="5" max="5" width="1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6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6">
      <c r="A3" t="s">
        <v>4</v>
      </c>
      <c r="B3" t="s">
        <v>62</v>
      </c>
      <c r="C3">
        <v>4.58</v>
      </c>
      <c r="D3">
        <v>-18.239999999999998</v>
      </c>
      <c r="E3" t="str">
        <f t="shared" ref="E3:E7" si="0">IF(OR(D3&gt;=-35,AND(C3&lt;=20,D3&gt;=-45)),"noisy_like",IF(AND(C3&gt;=30,D3&lt;=-50),"clean_like","uncertain_or_vhf_radio_style"))</f>
        <v>noisy_like</v>
      </c>
    </row>
    <row r="4" spans="1:6">
      <c r="A4" t="s">
        <v>5</v>
      </c>
      <c r="B4" t="s">
        <v>62</v>
      </c>
      <c r="C4">
        <v>16.13</v>
      </c>
      <c r="D4">
        <v>-37.26</v>
      </c>
      <c r="E4" t="str">
        <f t="shared" si="0"/>
        <v>noisy_like</v>
      </c>
    </row>
    <row r="5" spans="1:6">
      <c r="A5" t="s">
        <v>6</v>
      </c>
      <c r="B5" t="s">
        <v>62</v>
      </c>
      <c r="C5">
        <v>9.58</v>
      </c>
      <c r="D5">
        <v>-31.77</v>
      </c>
      <c r="E5" t="str">
        <f t="shared" si="0"/>
        <v>noisy_like</v>
      </c>
    </row>
    <row r="6" spans="1:6">
      <c r="A6" t="s">
        <v>7</v>
      </c>
      <c r="B6" t="s">
        <v>62</v>
      </c>
      <c r="C6">
        <v>18.579999999999998</v>
      </c>
      <c r="D6">
        <v>-37.880000000000003</v>
      </c>
      <c r="E6" t="str">
        <f t="shared" si="0"/>
        <v>noisy_like</v>
      </c>
    </row>
    <row r="7" spans="1:6">
      <c r="A7" t="s">
        <v>8</v>
      </c>
      <c r="B7" t="s">
        <v>62</v>
      </c>
      <c r="C7">
        <v>10.050000000000001</v>
      </c>
      <c r="D7">
        <v>-40.340000000000003</v>
      </c>
      <c r="E7" t="str">
        <f t="shared" si="0"/>
        <v>noisy_like</v>
      </c>
    </row>
    <row r="8" spans="1:6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 spans="1:6">
      <c r="A9" t="s">
        <v>9</v>
      </c>
      <c r="B9" t="s">
        <v>62</v>
      </c>
      <c r="C9">
        <v>22.76</v>
      </c>
      <c r="D9">
        <v>-35.39</v>
      </c>
      <c r="E9" t="str">
        <f>IF(OR(D9&gt;=-35,AND(C9&lt;=20,D9&gt;=-45)),"noisy_like",IF(AND(C9&gt;=30,D9&lt;=-50),"clean_like","uncertain_or_vhf_radio_style"))</f>
        <v>uncertain_or_vhf_radio_style</v>
      </c>
      <c r="F9" t="s">
        <v>20</v>
      </c>
    </row>
    <row r="10" spans="1:6">
      <c r="A10" s="7" t="s">
        <v>35</v>
      </c>
      <c r="B10" t="s">
        <v>62</v>
      </c>
      <c r="C10">
        <v>15.02</v>
      </c>
      <c r="D10">
        <v>-36.78</v>
      </c>
      <c r="E10" t="str">
        <f>IF(OR(D10&gt;=-35,AND(C10&lt;=20,D10&gt;=-45)),"noisy_like",IF(AND(C10&gt;=30,D10&lt;=-50),"clean_like","uncertain_or_vhf_radio_style"))</f>
        <v>noisy_like</v>
      </c>
    </row>
    <row r="11" spans="1:6">
      <c r="A11" t="s">
        <v>51</v>
      </c>
      <c r="B11" t="s">
        <v>62</v>
      </c>
      <c r="C11">
        <v>13.67</v>
      </c>
      <c r="D11">
        <v>-38.9</v>
      </c>
      <c r="E11" t="str">
        <f>IF(OR(D11&gt;=-35,AND(C11&lt;=20,D11&gt;=-45)),"noisy_like",IF(AND(C11&gt;=30,D11&lt;=-50),"clean_like","uncertain_or_vhf_radio_style"))</f>
        <v>noisy_like</v>
      </c>
    </row>
    <row r="12" spans="1:6">
      <c r="A12" t="s">
        <v>14</v>
      </c>
      <c r="B12" t="s">
        <v>15</v>
      </c>
      <c r="C12" t="s">
        <v>16</v>
      </c>
      <c r="D12" t="s">
        <v>17</v>
      </c>
      <c r="E12" t="s">
        <v>18</v>
      </c>
    </row>
    <row r="13" spans="1:6">
      <c r="A13" t="s">
        <v>10</v>
      </c>
      <c r="B13" t="s">
        <v>62</v>
      </c>
      <c r="C13">
        <v>26.79</v>
      </c>
      <c r="D13">
        <v>-38.24</v>
      </c>
      <c r="E13" t="str">
        <f t="shared" ref="E13:E15" si="1">IF(OR(D13&gt;=-35,AND(C13&lt;=20,D9&gt;=-45)),"noisy_like",IF(AND(C13&gt;=30,D13&lt;=-50),"clean_like","uncertain_or_vhf_radio_style"))</f>
        <v>uncertain_or_vhf_radio_style</v>
      </c>
      <c r="F13" t="s">
        <v>20</v>
      </c>
    </row>
    <row r="15" spans="1:6">
      <c r="A15" t="s">
        <v>11</v>
      </c>
      <c r="B15" t="s">
        <v>62</v>
      </c>
      <c r="C15">
        <v>23.24</v>
      </c>
      <c r="D15">
        <v>-39.229999999999997</v>
      </c>
      <c r="E15" t="str">
        <f t="shared" si="1"/>
        <v>uncertain_or_vhf_radio_style</v>
      </c>
      <c r="F15" t="s">
        <v>20</v>
      </c>
    </row>
    <row r="16" spans="1:6">
      <c r="A16" t="s">
        <v>14</v>
      </c>
      <c r="B16" t="s">
        <v>15</v>
      </c>
      <c r="C16" t="s">
        <v>16</v>
      </c>
      <c r="D16" t="s">
        <v>17</v>
      </c>
      <c r="E16" t="s">
        <v>18</v>
      </c>
    </row>
    <row r="17" spans="1:6">
      <c r="A17" t="s">
        <v>12</v>
      </c>
      <c r="B17" t="s">
        <v>62</v>
      </c>
      <c r="C17">
        <v>17.690000000000001</v>
      </c>
      <c r="D17">
        <v>-35.770000000000003</v>
      </c>
      <c r="E17" t="str">
        <f>IF(OR(D17&gt;=-35,AND(C17&lt;=20,D17&gt;=-45)),"noisy_like",IF(AND(C17&gt;=30,D17&lt;=-50),"clean_like","uncertain_or_vhf_radio_style"))</f>
        <v>noisy_like</v>
      </c>
    </row>
    <row r="20" spans="1:6" ht="58">
      <c r="A20" s="2" t="s">
        <v>19</v>
      </c>
      <c r="B20" s="4"/>
      <c r="C20" s="3"/>
      <c r="D20" s="3"/>
      <c r="E20" s="3"/>
    </row>
    <row r="21" spans="1:6">
      <c r="A21" t="s">
        <v>49</v>
      </c>
      <c r="B21" s="4" t="s">
        <v>62</v>
      </c>
      <c r="C21">
        <v>24.51</v>
      </c>
      <c r="D21">
        <v>-43.48</v>
      </c>
      <c r="E21" t="str">
        <f>IF(OR(D21&gt;=-35,AND(C21&lt;=20,D21&gt;=-45)),"noisy_like",IF(AND(C21&gt;=30,D21&lt;=-50),"clean_like","uncertain_or_vhf_radio_style"))</f>
        <v>uncertain_or_vhf_radio_style</v>
      </c>
    </row>
    <row r="23" spans="1:6">
      <c r="A23" t="s">
        <v>53</v>
      </c>
      <c r="B23" s="4" t="s">
        <v>62</v>
      </c>
      <c r="C23">
        <v>28.49</v>
      </c>
      <c r="D23">
        <v>-48.71</v>
      </c>
      <c r="E23" t="str">
        <f>IF(OR(D23&gt;=-35,AND(C23&lt;=20,D23&gt;=-45)),"noisy_like",IF(AND(C23&gt;=30,D23&lt;=-50),"clean_like","uncertain_or_vhf_radio_style"))</f>
        <v>uncertain_or_vhf_radio_style</v>
      </c>
    </row>
    <row r="24" spans="1:6">
      <c r="A24" t="s">
        <v>55</v>
      </c>
      <c r="B24" s="4" t="s">
        <v>62</v>
      </c>
      <c r="C24">
        <v>18.68</v>
      </c>
      <c r="D24">
        <v>-56.03</v>
      </c>
      <c r="E24" t="str">
        <f>IF(OR(D24&gt;=-35,AND(C24&lt;=20,D24&gt;=-45)),"noisy_like",IF(AND(C24&gt;=30,D24&lt;=-50),"clean_like","uncertain_or_vhf_radio_style"))</f>
        <v>uncertain_or_vhf_radio_style</v>
      </c>
    </row>
    <row r="25" spans="1:6">
      <c r="A25" s="1" t="s">
        <v>57</v>
      </c>
      <c r="B25" s="4" t="s">
        <v>62</v>
      </c>
      <c r="C25">
        <v>13.13</v>
      </c>
      <c r="D25">
        <v>-30.3</v>
      </c>
      <c r="E25" t="str">
        <f>IF(OR(D25&gt;=-35,AND(C25&lt;=20,D25&gt;=-45)),"noisy_like",IF(AND(C25&gt;=30,D25&lt;=-50),"clean_like","uncertain_or_vhf_radio_style"))</f>
        <v>noisy_like</v>
      </c>
    </row>
    <row r="26" spans="1:6">
      <c r="A26" t="s">
        <v>14</v>
      </c>
      <c r="B26" t="s">
        <v>15</v>
      </c>
      <c r="C26" t="s">
        <v>16</v>
      </c>
      <c r="D26" t="s">
        <v>17</v>
      </c>
      <c r="E26" t="s">
        <v>18</v>
      </c>
    </row>
    <row r="27" spans="1:6">
      <c r="A27" t="s">
        <v>63</v>
      </c>
      <c r="B27" t="s">
        <v>62</v>
      </c>
      <c r="C27">
        <v>37.65</v>
      </c>
      <c r="D27">
        <v>-59.65</v>
      </c>
      <c r="E27" t="str">
        <f>IF(OR(D27&gt;=-35,AND(C27&lt;=20,D27&gt;=-45)),"noisy_like",IF(AND(C27&gt;=30,D27&lt;=-50),"clean_like","uncertain_or_vhf_radio_style"))</f>
        <v>clean_like</v>
      </c>
    </row>
    <row r="28" spans="1:6">
      <c r="A28" t="s">
        <v>14</v>
      </c>
      <c r="B28" t="s">
        <v>15</v>
      </c>
      <c r="C28" t="s">
        <v>16</v>
      </c>
      <c r="D28" t="s">
        <v>17</v>
      </c>
      <c r="E28" t="s">
        <v>18</v>
      </c>
    </row>
    <row r="29" spans="1:6">
      <c r="A29" t="s">
        <v>65</v>
      </c>
      <c r="B29" t="s">
        <v>62</v>
      </c>
      <c r="C29">
        <v>27.86</v>
      </c>
      <c r="D29">
        <v>-43.76</v>
      </c>
      <c r="E29" t="str">
        <f t="shared" ref="E29:E30" si="2">IF(OR(D29&gt;=-35,AND(C29&lt;=20,D29&gt;=-45)),"noisy_like",IF(AND(C29&gt;=30,D29&lt;=-50),"clean_like","uncertain_or_vhf_radio_style"))</f>
        <v>uncertain_or_vhf_radio_style</v>
      </c>
      <c r="F29" t="s">
        <v>21</v>
      </c>
    </row>
    <row r="30" spans="1:6">
      <c r="A30" t="s">
        <v>64</v>
      </c>
      <c r="B30" t="s">
        <v>62</v>
      </c>
      <c r="C30">
        <v>25.52</v>
      </c>
      <c r="D30">
        <v>-50.62</v>
      </c>
      <c r="E30" t="str">
        <f t="shared" si="2"/>
        <v>uncertain_or_vhf_radio_style</v>
      </c>
      <c r="F30" t="s">
        <v>21</v>
      </c>
    </row>
  </sheetData>
  <phoneticPr fontId="18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E4AD-4536-4527-AB49-C8C14BFF0CBC}">
  <dimension ref="A1:C20"/>
  <sheetViews>
    <sheetView workbookViewId="0">
      <selection activeCell="A6" sqref="A6"/>
    </sheetView>
  </sheetViews>
  <sheetFormatPr defaultRowHeight="14.5"/>
  <cols>
    <col min="1" max="1" width="52.54296875" customWidth="1"/>
    <col min="2" max="2" width="58.1796875" customWidth="1"/>
    <col min="3" max="3" width="116" customWidth="1"/>
  </cols>
  <sheetData>
    <row r="1" spans="1:3" ht="20.5" customHeight="1">
      <c r="A1" s="5" t="s">
        <v>22</v>
      </c>
      <c r="B1" s="5" t="s">
        <v>23</v>
      </c>
      <c r="C1" s="5" t="s">
        <v>24</v>
      </c>
    </row>
    <row r="2" spans="1:3" ht="16" customHeight="1">
      <c r="A2" s="7" t="s">
        <v>25</v>
      </c>
      <c r="B2" s="6" t="s">
        <v>26</v>
      </c>
      <c r="C2" s="6" t="s">
        <v>27</v>
      </c>
    </row>
    <row r="3" spans="1:3" ht="18" customHeight="1">
      <c r="A3" s="7" t="s">
        <v>28</v>
      </c>
      <c r="B3" s="6" t="s">
        <v>29</v>
      </c>
      <c r="C3" s="6" t="s">
        <v>30</v>
      </c>
    </row>
    <row r="4" spans="1:3" ht="16" customHeight="1">
      <c r="A4" s="7" t="s">
        <v>31</v>
      </c>
      <c r="B4" s="6" t="s">
        <v>32</v>
      </c>
      <c r="C4" s="6" t="s">
        <v>27</v>
      </c>
    </row>
    <row r="5" spans="1:3" ht="19.5" customHeight="1">
      <c r="A5" s="7" t="s">
        <v>33</v>
      </c>
      <c r="B5" s="6" t="s">
        <v>34</v>
      </c>
      <c r="C5" s="6" t="s">
        <v>30</v>
      </c>
    </row>
    <row r="6" spans="1:3" ht="28.5" customHeight="1">
      <c r="A6" s="7" t="s">
        <v>35</v>
      </c>
      <c r="B6" s="6" t="s">
        <v>36</v>
      </c>
      <c r="C6" s="6" t="s">
        <v>30</v>
      </c>
    </row>
    <row r="7" spans="1:3" ht="14.5" customHeight="1">
      <c r="A7" s="7" t="s">
        <v>37</v>
      </c>
      <c r="B7" s="6" t="s">
        <v>38</v>
      </c>
      <c r="C7" s="6" t="s">
        <v>30</v>
      </c>
    </row>
    <row r="8" spans="1:3" ht="13.5" customHeight="1">
      <c r="A8" s="7" t="s">
        <v>39</v>
      </c>
      <c r="B8" s="6" t="s">
        <v>40</v>
      </c>
      <c r="C8" s="6" t="s">
        <v>27</v>
      </c>
    </row>
    <row r="9" spans="1:3" ht="18" customHeight="1">
      <c r="A9" s="7" t="s">
        <v>41</v>
      </c>
      <c r="B9" s="6" t="s">
        <v>42</v>
      </c>
      <c r="C9" s="6" t="s">
        <v>27</v>
      </c>
    </row>
    <row r="10" spans="1:3" ht="30.5" customHeight="1">
      <c r="A10" s="7" t="s">
        <v>43</v>
      </c>
      <c r="B10" s="6" t="s">
        <v>42</v>
      </c>
      <c r="C10" s="6" t="s">
        <v>44</v>
      </c>
    </row>
    <row r="11" spans="1:3">
      <c r="A11" s="7" t="s">
        <v>45</v>
      </c>
      <c r="B11" s="6" t="s">
        <v>29</v>
      </c>
      <c r="C11" s="6" t="s">
        <v>30</v>
      </c>
    </row>
    <row r="12" spans="1:3">
      <c r="A12" s="5" t="s">
        <v>22</v>
      </c>
      <c r="B12" s="5" t="s">
        <v>46</v>
      </c>
      <c r="C12" s="5" t="s">
        <v>24</v>
      </c>
    </row>
    <row r="13" spans="1:3">
      <c r="A13" s="7" t="s">
        <v>47</v>
      </c>
      <c r="B13" s="6" t="s">
        <v>48</v>
      </c>
      <c r="C13" s="6" t="s">
        <v>27</v>
      </c>
    </row>
    <row r="14" spans="1:3" ht="25">
      <c r="A14" s="7" t="s">
        <v>49</v>
      </c>
      <c r="B14" s="6" t="s">
        <v>50</v>
      </c>
      <c r="C14" s="6" t="s">
        <v>30</v>
      </c>
    </row>
    <row r="15" spans="1:3">
      <c r="A15" s="7" t="s">
        <v>51</v>
      </c>
      <c r="B15" s="6" t="s">
        <v>52</v>
      </c>
      <c r="C15" s="6" t="s">
        <v>27</v>
      </c>
    </row>
    <row r="16" spans="1:3" ht="25">
      <c r="A16" s="7" t="s">
        <v>53</v>
      </c>
      <c r="B16" s="6" t="s">
        <v>54</v>
      </c>
      <c r="C16" s="6" t="s">
        <v>30</v>
      </c>
    </row>
    <row r="17" spans="1:3">
      <c r="A17" s="7" t="s">
        <v>55</v>
      </c>
      <c r="B17" s="6" t="s">
        <v>56</v>
      </c>
      <c r="C17" s="6" t="s">
        <v>27</v>
      </c>
    </row>
    <row r="18" spans="1:3">
      <c r="A18" s="7" t="s">
        <v>57</v>
      </c>
      <c r="B18" s="6" t="s">
        <v>58</v>
      </c>
      <c r="C18" s="6" t="s">
        <v>30</v>
      </c>
    </row>
    <row r="19" spans="1:3" ht="25">
      <c r="A19" s="7" t="s">
        <v>59</v>
      </c>
      <c r="B19" s="6" t="s">
        <v>60</v>
      </c>
      <c r="C19" s="6" t="s">
        <v>44</v>
      </c>
    </row>
    <row r="20" spans="1:3">
      <c r="A20" s="7" t="s">
        <v>61</v>
      </c>
      <c r="B20" s="6" t="s">
        <v>42</v>
      </c>
      <c r="C20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noisy_reference_inventory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Dave, Kavya</cp:lastModifiedBy>
  <dcterms:created xsi:type="dcterms:W3CDTF">2026-08-27T18:35:25Z</dcterms:created>
  <dcterms:modified xsi:type="dcterms:W3CDTF">2026-08-28T11:05:55Z</dcterms:modified>
</cp:coreProperties>
</file>